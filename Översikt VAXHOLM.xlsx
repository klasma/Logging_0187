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11405-2024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45372</v>
      </c>
      <c r="E2" s="1" t="n">
        <v>46322</v>
      </c>
      <c r="F2" t="inlineStr">
        <is>
          <t>STOCKHOLMS LÄN</t>
        </is>
      </c>
      <c r="G2" t="inlineStr">
        <is>
          <t>VAXHOLM</t>
        </is>
      </c>
      <c r="H2" t="inlineStr">
        <is>
          <t>Övriga statliga verk och myndigheter</t>
        </is>
      </c>
      <c r="I2" t="n">
        <v>11.6</v>
      </c>
      <c r="J2" t="n">
        <v>2</v>
      </c>
      <c r="K2" t="n">
        <v>3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6</v>
      </c>
      <c r="T2" t="n">
        <v>7</v>
      </c>
      <c r="U2" t="n">
        <v>7</v>
      </c>
      <c r="V2" s="2" t="inlineStr">
        <is>
          <t>Knärot
Ullticka
Bronshjon
Grönpyrola
Vågbandad barkbock
Revlummer</t>
        </is>
      </c>
      <c r="W2">
        <f>HYPERLINK("https://klasma.github.io/Logging_0187/artfynd/A 11405-2024 artfynd.xlsx", "A 11405-2024")</f>
        <v/>
      </c>
      <c r="X2">
        <f>HYPERLINK("https://klasma.github.io/Logging_0187/kartor/A 11405-2024 karta.png", "A 11405-2024")</f>
        <v/>
      </c>
      <c r="Y2">
        <f>HYPERLINK("https://klasma.github.io/Logging_0187/kartor_geotiff/A 11405-2024 georefererad karta.tif", "A 11405-2024")</f>
        <v/>
      </c>
      <c r="Z2">
        <f>HYPERLINK("https://klasma.github.io/Logging_0187/knärot/A 11405-2024 karta knärot.png", "A 11405-2024")</f>
        <v/>
      </c>
      <c r="AA2">
        <f>HYPERLINK("https://klasma.github.io/Logging_0187/klagomål/A 11405-2024 FSC-klagomål.docx", "A 11405-2024")</f>
        <v/>
      </c>
      <c r="AB2">
        <f>HYPERLINK("https://klasma.github.io/Logging_0187/klagomålsmail/A 11405-2024 FSC-klagomål mail.docx", "A 11405-2024")</f>
        <v/>
      </c>
      <c r="AC2">
        <f>HYPERLINK("https://klasma.github.io/Logging_0187/tillsyn/A 11405-2024 tillsynsbegäran.docx", "A 11405-2024")</f>
        <v/>
      </c>
      <c r="AD2">
        <f>HYPERLINK("https://klasma.github.io/Logging_0187/tillsynsmail/A 11405-2024 tillsynsbegäran mail.docx", "A 11405-2024")</f>
        <v/>
      </c>
    </row>
    <row r="3" ht="15" customHeight="1">
      <c r="A3" t="inlineStr">
        <is>
          <t>S 3531-2025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46008</v>
      </c>
      <c r="E3" s="1" t="n">
        <v>46322</v>
      </c>
      <c r="F3" t="inlineStr">
        <is>
          <t>STOCKHOLMS LÄN</t>
        </is>
      </c>
      <c r="G3" t="inlineStr">
        <is>
          <t>VAXHOLM</t>
        </is>
      </c>
      <c r="H3" t="inlineStr">
        <is>
          <t>Övriga statliga verk och myndigheter</t>
        </is>
      </c>
      <c r="I3" t="n">
        <v>3.7</v>
      </c>
      <c r="J3" t="n">
        <v>2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2</v>
      </c>
      <c r="T3" t="n">
        <v>4</v>
      </c>
      <c r="U3" t="n">
        <v>0</v>
      </c>
      <c r="V3" s="2" t="inlineStr">
        <is>
          <t>Knippnejlika
Trana</t>
        </is>
      </c>
      <c r="W3">
        <f>HYPERLINK("https://klasma.github.io/Logging_0187/artfynd/S 3531-2025 artfynd.xlsx", "S 3531-2025")</f>
        <v/>
      </c>
      <c r="X3">
        <f>HYPERLINK("https://klasma.github.io/Logging_0187/kartor/S 3531-2025 karta.png", "S 3531-2025")</f>
        <v/>
      </c>
      <c r="Y3">
        <f>HYPERLINK("https://klasma.github.io/Logging_0187/kartor_geotiff/S 3531-2025 georefererad karta.tif", "S 3531-2025")</f>
        <v/>
      </c>
      <c r="AA3">
        <f>HYPERLINK("https://klasma.github.io/Logging_0187/klagomål/S 3531-2025 FSC-klagomål.docx", "S 3531-2025")</f>
        <v/>
      </c>
      <c r="AB3">
        <f>HYPERLINK("https://klasma.github.io/Logging_0187/klagomålsmail/S 3531-2025 FSC-klagomål mail.docx", "S 3531-2025")</f>
        <v/>
      </c>
      <c r="AC3">
        <f>HYPERLINK("https://klasma.github.io/Logging_0187/tillsyn/S 3531-2025 tillsynsbegäran.docx", "S 3531-2025")</f>
        <v/>
      </c>
      <c r="AD3">
        <f>HYPERLINK("https://klasma.github.io/Logging_0187/tillsynsmail/S 3531-2025 tillsynsbegäran mail.docx", "S 3531-2025")</f>
        <v/>
      </c>
      <c r="AE3">
        <f>HYPERLINK("https://klasma.github.io/Logging_0187/fåglar/S 3531-2025 prioriterade fågelarter.docx", "S 3531-2025")</f>
        <v/>
      </c>
    </row>
    <row r="4" ht="15" customHeight="1">
      <c r="A4" t="inlineStr">
        <is>
          <t>A 32143-2026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46234</v>
      </c>
      <c r="E4" s="1" t="n">
        <v>46322</v>
      </c>
      <c r="F4" t="inlineStr">
        <is>
          <t>STOCKHOLMS LÄN</t>
        </is>
      </c>
      <c r="G4" t="inlineStr">
        <is>
          <t>VAXHOLM</t>
        </is>
      </c>
      <c r="H4" t="inlineStr">
        <is>
          <t>Övriga statliga verk och myndigheter</t>
        </is>
      </c>
      <c r="I4" t="n">
        <v>2.5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2</v>
      </c>
      <c r="U4" t="n">
        <v>0</v>
      </c>
      <c r="V4" s="2" t="inlineStr">
        <is>
          <t>Knippnejlika</t>
        </is>
      </c>
      <c r="W4">
        <f>HYPERLINK("https://klasma.github.io/Logging_0187/artfynd/A 32143-2026 artfynd.xlsx", "A 32143-2026")</f>
        <v/>
      </c>
      <c r="X4">
        <f>HYPERLINK("https://klasma.github.io/Logging_0187/kartor/A 32143-2026 karta.png", "A 32143-2026")</f>
        <v/>
      </c>
      <c r="Y4">
        <f>HYPERLINK("https://klasma.github.io/Logging_0187/kartor_geotiff/A 32143-2026 georefererad karta.tif", "A 32143-2026")</f>
        <v/>
      </c>
      <c r="AA4">
        <f>HYPERLINK("https://klasma.github.io/Logging_0187/klagomål/A 32143-2026 FSC-klagomål.docx", "A 32143-2026")</f>
        <v/>
      </c>
      <c r="AB4">
        <f>HYPERLINK("https://klasma.github.io/Logging_0187/klagomålsmail/A 32143-2026 FSC-klagomål mail.docx", "A 32143-2026")</f>
        <v/>
      </c>
      <c r="AC4">
        <f>HYPERLINK("https://klasma.github.io/Logging_0187/tillsyn/A 32143-2026 tillsynsbegäran.docx", "A 32143-2026")</f>
        <v/>
      </c>
      <c r="AD4">
        <f>HYPERLINK("https://klasma.github.io/Logging_0187/tillsynsmail/A 32143-2026 tillsynsbegäran mail.docx", "A 32143-2026")</f>
        <v/>
      </c>
    </row>
    <row r="5" ht="15" customHeight="1">
      <c r="A5" t="inlineStr">
        <is>
          <t>A 67756-2021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44524</v>
      </c>
      <c r="E5" s="1" t="n">
        <v>46322</v>
      </c>
      <c r="F5" t="inlineStr">
        <is>
          <t>STOCKHOLMS LÄN</t>
        </is>
      </c>
      <c r="G5" t="inlineStr">
        <is>
          <t>VAXHOLM</t>
        </is>
      </c>
      <c r="H5" t="inlineStr">
        <is>
          <t>Övriga statliga verk och myndigheter</t>
        </is>
      </c>
      <c r="I5" t="n">
        <v>1.6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34926-2022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44796</v>
      </c>
      <c r="E6" s="1" t="n">
        <v>46322</v>
      </c>
      <c r="F6" t="inlineStr">
        <is>
          <t>STOCKHOLMS LÄN</t>
        </is>
      </c>
      <c r="G6" t="inlineStr">
        <is>
          <t>VAXHOLM</t>
        </is>
      </c>
      <c r="H6" t="inlineStr">
        <is>
          <t>Övriga statliga verk och myndigheter</t>
        </is>
      </c>
      <c r="I6" t="n">
        <v>1.3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28815-2024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45478</v>
      </c>
      <c r="E7" s="1" t="n">
        <v>46322</v>
      </c>
      <c r="F7" t="inlineStr">
        <is>
          <t>STOCKHOLMS LÄN</t>
        </is>
      </c>
      <c r="G7" t="inlineStr">
        <is>
          <t>VAXHOLM</t>
        </is>
      </c>
      <c r="H7" t="inlineStr">
        <is>
          <t>Övriga statliga verk och myndigheter</t>
        </is>
      </c>
      <c r="I7" t="n">
        <v>2.8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28612-2026</t>
        </is>
      </c>
      <c r="B8" t="inlineStr">
        <is>
          <t>avverkningsanmälan</t>
        </is>
      </c>
      <c r="C8" t="inlineStr">
        <is>
          <t>Avverkning för annat ändamål</t>
        </is>
      </c>
      <c r="D8" s="1" t="n">
        <v>46190</v>
      </c>
      <c r="E8" s="1" t="n">
        <v>46322</v>
      </c>
      <c r="F8" t="inlineStr">
        <is>
          <t>STOCKHOLMS LÄN</t>
        </is>
      </c>
      <c r="G8" t="inlineStr">
        <is>
          <t>VAXHOLM</t>
        </is>
      </c>
      <c r="H8" t="inlineStr">
        <is>
          <t>Övriga statliga verk och myndigheter</t>
        </is>
      </c>
      <c r="I8" t="n">
        <v>6.6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6004-2026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46050</v>
      </c>
      <c r="E9" s="1" t="n">
        <v>46322</v>
      </c>
      <c r="F9" t="inlineStr">
        <is>
          <t>STOCKHOLMS LÄN</t>
        </is>
      </c>
      <c r="G9" t="inlineStr">
        <is>
          <t>VAXHOLM</t>
        </is>
      </c>
      <c r="H9" t="inlineStr">
        <is>
          <t>Övriga statliga verk och myndigheter</t>
        </is>
      </c>
      <c r="I9" t="n">
        <v>2.7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5968-2023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44959</v>
      </c>
      <c r="E10" s="1" t="n">
        <v>46322</v>
      </c>
      <c r="F10" t="inlineStr">
        <is>
          <t>STOCKHOLMS LÄN</t>
        </is>
      </c>
      <c r="G10" t="inlineStr">
        <is>
          <t>VAXHOLM</t>
        </is>
      </c>
      <c r="H10" t="inlineStr">
        <is>
          <t>Övriga statliga verk och myndigheter</t>
        </is>
      </c>
      <c r="I10" t="n">
        <v>1.5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35838-2023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45147</v>
      </c>
      <c r="E11" s="1" t="n">
        <v>46322</v>
      </c>
      <c r="F11" t="inlineStr">
        <is>
          <t>STOCKHOLMS LÄN</t>
        </is>
      </c>
      <c r="G11" t="inlineStr">
        <is>
          <t>VAXHOLM</t>
        </is>
      </c>
      <c r="H11" t="inlineStr">
        <is>
          <t>Övriga statliga verk och myndigheter</t>
        </is>
      </c>
      <c r="I11" t="n">
        <v>1.1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32127-2026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46234</v>
      </c>
      <c r="E12" s="1" t="n">
        <v>46322</v>
      </c>
      <c r="F12" t="inlineStr">
        <is>
          <t>STOCKHOLMS LÄN</t>
        </is>
      </c>
      <c r="G12" t="inlineStr">
        <is>
          <t>VAXHOLM</t>
        </is>
      </c>
      <c r="H12" t="inlineStr">
        <is>
          <t>Övriga statliga verk och myndigheter</t>
        </is>
      </c>
      <c r="I12" t="n">
        <v>2.7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32204-2026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46234</v>
      </c>
      <c r="E13" s="1" t="n">
        <v>46322</v>
      </c>
      <c r="F13" t="inlineStr">
        <is>
          <t>STOCKHOLMS LÄN</t>
        </is>
      </c>
      <c r="G13" t="inlineStr">
        <is>
          <t>VAXHOLM</t>
        </is>
      </c>
      <c r="H13" t="inlineStr">
        <is>
          <t>Övriga statliga verk och myndigheter</t>
        </is>
      </c>
      <c r="I13" t="n">
        <v>0.8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2229-2023</t>
        </is>
      </c>
      <c r="B14" t="inlineStr">
        <is>
          <t>avverkningsanmälan</t>
        </is>
      </c>
      <c r="C14" t="inlineStr">
        <is>
          <t>Avverkning för att bevara och utveckla /försöksver</t>
        </is>
      </c>
      <c r="D14" s="1" t="n">
        <v>44939</v>
      </c>
      <c r="E14" s="1" t="n">
        <v>46322</v>
      </c>
      <c r="F14" t="inlineStr">
        <is>
          <t>STOCKHOLMS LÄN</t>
        </is>
      </c>
      <c r="G14" t="inlineStr">
        <is>
          <t>VAXHOLM</t>
        </is>
      </c>
      <c r="H14" t="inlineStr">
        <is>
          <t>Övriga statliga verk och myndigheter</t>
        </is>
      </c>
      <c r="I14" t="n">
        <v>4.3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5528-2023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44957</v>
      </c>
      <c r="E15" s="1" t="n">
        <v>46322</v>
      </c>
      <c r="F15" t="inlineStr">
        <is>
          <t>STOCKHOLMS LÄN</t>
        </is>
      </c>
      <c r="G15" t="inlineStr">
        <is>
          <t>VAXHOLM</t>
        </is>
      </c>
      <c r="H15" t="inlineStr">
        <is>
          <t>Övriga statliga verk och myndigheter</t>
        </is>
      </c>
      <c r="I15" t="n">
        <v>1.2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39876-2024</t>
        </is>
      </c>
      <c r="B16" t="inlineStr">
        <is>
          <t>avverkningsanmälan</t>
        </is>
      </c>
      <c r="C16" t="inlineStr">
        <is>
          <t>Avverkning för annat ändamål</t>
        </is>
      </c>
      <c r="D16" s="1" t="n">
        <v>45553</v>
      </c>
      <c r="E16" s="1" t="n">
        <v>46322</v>
      </c>
      <c r="F16" t="inlineStr">
        <is>
          <t>STOCKHOLMS LÄN</t>
        </is>
      </c>
      <c r="G16" t="inlineStr">
        <is>
          <t>VAXHOLM</t>
        </is>
      </c>
      <c r="H16" t="inlineStr">
        <is>
          <t>Övriga statliga verk och myndigheter</t>
        </is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S 136-2023</t>
        </is>
      </c>
      <c r="B17" t="inlineStr">
        <is>
          <t>samrådsanmälan</t>
        </is>
      </c>
      <c r="C17" t="inlineStr">
        <is>
          <t>Annan skogsbruksåtgärd</t>
        </is>
      </c>
      <c r="D17" s="1" t="n">
        <v>44939</v>
      </c>
      <c r="E17" s="1" t="n">
        <v>46322</v>
      </c>
      <c r="F17" t="inlineStr">
        <is>
          <t>STOCKHOLMS LÄN</t>
        </is>
      </c>
      <c r="G17" t="inlineStr">
        <is>
          <t>VAXHOLM</t>
        </is>
      </c>
      <c r="H17" t="inlineStr">
        <is>
          <t>Övriga statliga verk och myndigheter</t>
        </is>
      </c>
      <c r="I17" t="n">
        <v>4.2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>
      <c r="A18" t="inlineStr">
        <is>
          <t>S 2080-2026</t>
        </is>
      </c>
      <c r="B18" t="inlineStr">
        <is>
          <t>samrådsanmälan</t>
        </is>
      </c>
      <c r="C18" t="inlineStr">
        <is>
          <t>Annan skogsbruksåtgärd</t>
        </is>
      </c>
      <c r="D18" s="1" t="n">
        <v>46231</v>
      </c>
      <c r="E18" s="1" t="n">
        <v>46322</v>
      </c>
      <c r="F18" t="inlineStr">
        <is>
          <t>STOCKHOLMS LÄN</t>
        </is>
      </c>
      <c r="G18" t="inlineStr">
        <is>
          <t>VAXHOLM</t>
        </is>
      </c>
      <c r="H18" t="inlineStr">
        <is>
          <t>Övriga statliga verk och myndigheter</t>
        </is>
      </c>
      <c r="I18" t="n">
        <v>1.5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2026-10-27T03:13:10Z</dcterms:created>
  <dcterms:modified xmlns:dcterms="http://purl.org/dc/terms/" xmlns:xsi="http://www.w3.org/2001/XMLSchema-instance" xsi:type="dcterms:W3CDTF">2026-10-27T03:13:10Z</dcterms:modified>
</cp:coreProperties>
</file>